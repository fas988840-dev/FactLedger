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TM_PnL_Statement" sheetId="1" state="visible" r:id="rId1"/>
    <sheet xmlns:r="http://schemas.openxmlformats.org/officeDocument/2006/relationships" name="Commercial_Model_and_Valu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i val="1"/>
      <color rgb="00475569"/>
      <sz val="10"/>
    </font>
    <font>
      <name val="Calibri"/>
      <b val="1"/>
      <color rgb="00FFFFFF"/>
      <sz val="11"/>
    </font>
    <font>
      <name val="Calibri"/>
      <b val="1"/>
      <color rgb="000F172A"/>
      <sz val="10"/>
    </font>
    <font>
      <name val="Calibri"/>
      <color rgb="001E293B"/>
      <sz val="10"/>
    </font>
    <font>
      <name val="Calibri"/>
      <i val="1"/>
      <color rgb="00B45309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E293B"/>
      </patternFill>
    </fill>
    <fill>
      <patternFill patternType="solid">
        <fgColor rgb="00DCFCE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3" fillId="3" borderId="1" pivotButton="0" quotePrefix="0" xfId="0"/>
    <xf numFmtId="0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4" fillId="0" borderId="1" pivotButton="0" quotePrefix="0" xfId="0"/>
    <xf numFmtId="164" fontId="4" fillId="4" borderId="1" pivotButton="0" quotePrefix="0" xfId="0"/>
    <xf numFmtId="164" fontId="4" fillId="5" borderId="1" pivotButton="0" quotePrefix="0" xfId="0"/>
    <xf numFmtId="0" fontId="6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5" fontId="0" fillId="0" borderId="1" pivotButton="0" quotePrefix="0" xfId="0"/>
    <xf numFmtId="3" fontId="0" fillId="0" borderId="1" pivotButton="0" quotePrefix="0" xfId="0"/>
    <xf numFmtId="0" fontId="4" fillId="4" borderId="1" pivotButton="0" quotePrefix="0" xfId="0"/>
    <xf numFmtId="0" fontId="0" fillId="4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FACTLEDGER — TRAILING 12-MONTH (TTM) PROFIT &amp; LOSS (P&amp;L) STATEMENT</t>
        </is>
      </c>
    </row>
    <row r="2">
      <c r="A2" s="2" t="inlineStr">
        <is>
          <t>Owner: Abdullah Al-Anzi (100% Bootstrapped IP) | Currency: USD | Basis: Cash / Actuals (Nov 2025 – Oct 2026)</t>
        </is>
      </c>
    </row>
    <row r="4">
      <c r="A4" s="3" t="inlineStr">
        <is>
          <t>Line Item / Category</t>
        </is>
      </c>
      <c r="B4" s="4" t="inlineStr">
        <is>
          <t>Nov 2025</t>
        </is>
      </c>
      <c r="C4" s="4" t="inlineStr">
        <is>
          <t>Dec 2025</t>
        </is>
      </c>
      <c r="D4" s="4" t="inlineStr">
        <is>
          <t>Jan 2026</t>
        </is>
      </c>
      <c r="E4" s="4" t="inlineStr">
        <is>
          <t>Feb 2026</t>
        </is>
      </c>
      <c r="F4" s="4" t="inlineStr">
        <is>
          <t>Mar 2026</t>
        </is>
      </c>
      <c r="G4" s="4" t="inlineStr">
        <is>
          <t>Apr 2026</t>
        </is>
      </c>
      <c r="H4" s="4" t="inlineStr">
        <is>
          <t>May 2026</t>
        </is>
      </c>
      <c r="I4" s="4" t="inlineStr">
        <is>
          <t>Jun 2026</t>
        </is>
      </c>
      <c r="J4" s="4" t="inlineStr">
        <is>
          <t>Jul 2026</t>
        </is>
      </c>
      <c r="K4" s="4" t="inlineStr">
        <is>
          <t>Aug 2026</t>
        </is>
      </c>
      <c r="L4" s="4" t="inlineStr">
        <is>
          <t>Sep 2026</t>
        </is>
      </c>
      <c r="M4" s="4" t="inlineStr">
        <is>
          <t>Oct 2026</t>
        </is>
      </c>
      <c r="N4" s="4" t="inlineStr">
        <is>
          <t>TTM Total</t>
        </is>
      </c>
    </row>
    <row r="5">
      <c r="A5" s="5" t="inlineStr">
        <is>
          <t>REVENUE (ACTUAL HISTORICAL)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</row>
    <row r="6">
      <c r="A6" s="6" t="inlineStr">
        <is>
          <t>SaaS API &amp; MCP Subscriptions (Launched Oct 2026)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8">
        <f>SUM(B6:M6)</f>
        <v/>
      </c>
    </row>
    <row r="7">
      <c r="A7" s="6" t="inlineStr">
        <is>
          <t>Institutional Audit Reports (100-Report Catalog)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8">
        <f>SUM(B7:M7)</f>
        <v/>
      </c>
    </row>
    <row r="8">
      <c r="A8" s="6" t="inlineStr">
        <is>
          <t>On-Chain SOL/USDC Micropayments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8">
        <f>SUM(B8:M8)</f>
        <v/>
      </c>
    </row>
    <row r="9">
      <c r="A9" s="9" t="inlineStr">
        <is>
          <t>Total Gross Revenue (TTM)</t>
        </is>
      </c>
      <c r="B9" s="10">
        <f>SUM(B6:B8)</f>
        <v/>
      </c>
      <c r="C9" s="10">
        <f>SUM(C6:C8)</f>
        <v/>
      </c>
      <c r="D9" s="10">
        <f>SUM(D6:D8)</f>
        <v/>
      </c>
      <c r="E9" s="10">
        <f>SUM(E6:E8)</f>
        <v/>
      </c>
      <c r="F9" s="10">
        <f>SUM(F6:F8)</f>
        <v/>
      </c>
      <c r="G9" s="10">
        <f>SUM(G6:G8)</f>
        <v/>
      </c>
      <c r="H9" s="10">
        <f>SUM(H6:H8)</f>
        <v/>
      </c>
      <c r="I9" s="10">
        <f>SUM(I6:I8)</f>
        <v/>
      </c>
      <c r="J9" s="10">
        <f>SUM(J6:J8)</f>
        <v/>
      </c>
      <c r="K9" s="10">
        <f>SUM(K6:K8)</f>
        <v/>
      </c>
      <c r="L9" s="10">
        <f>SUM(L6:L8)</f>
        <v/>
      </c>
      <c r="M9" s="10">
        <f>SUM(M6:M8)</f>
        <v/>
      </c>
      <c r="N9" s="10">
        <f>SUM(B9:M9)</f>
        <v/>
      </c>
    </row>
    <row r="10">
      <c r="A10" s="5" t="inlineStr">
        <is>
          <t>OPERATING EXPENSES (CLOUD &amp; INFRASTRUCTURE)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6" t="inlineStr">
        <is>
          <t>Cloud Hosting (Render API &amp; Demo Free/Starter Tier)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8">
        <f>SUM(B11:M11)</f>
        <v/>
      </c>
    </row>
    <row r="12">
      <c r="A12" s="6" t="inlineStr">
        <is>
          <t>Solana Mainnet RPC &amp; Telemetry (Public / Open Tier)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7" t="n">
        <v>0</v>
      </c>
      <c r="N12" s="8">
        <f>SUM(B12:M12)</f>
        <v/>
      </c>
    </row>
    <row r="13">
      <c r="A13" s="6" t="inlineStr">
        <is>
          <t>GitHub Actions CI/CD &amp; CodeQL Security (Open-Source Tier)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8">
        <f>SUM(B13:M13)</f>
        <v/>
      </c>
    </row>
    <row r="14">
      <c r="A14" s="6" t="inlineStr">
        <is>
          <t>Founder R&amp;D / Engineering (100% Founder Sweat Equity)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8">
        <f>SUM(B14:M14)</f>
        <v/>
      </c>
    </row>
    <row r="15">
      <c r="A15" s="9" t="inlineStr">
        <is>
          <t>Total Operating Expenses (TTM)</t>
        </is>
      </c>
      <c r="B15" s="11">
        <f>SUM(B11:B14)</f>
        <v/>
      </c>
      <c r="C15" s="11">
        <f>SUM(C11:C14)</f>
        <v/>
      </c>
      <c r="D15" s="11">
        <f>SUM(D11:D14)</f>
        <v/>
      </c>
      <c r="E15" s="11">
        <f>SUM(E11:E14)</f>
        <v/>
      </c>
      <c r="F15" s="11">
        <f>SUM(F11:F14)</f>
        <v/>
      </c>
      <c r="G15" s="11">
        <f>SUM(G11:G14)</f>
        <v/>
      </c>
      <c r="H15" s="11">
        <f>SUM(H11:H14)</f>
        <v/>
      </c>
      <c r="I15" s="11">
        <f>SUM(I11:I14)</f>
        <v/>
      </c>
      <c r="J15" s="11">
        <f>SUM(J11:J14)</f>
        <v/>
      </c>
      <c r="K15" s="11">
        <f>SUM(K11:K14)</f>
        <v/>
      </c>
      <c r="L15" s="11">
        <f>SUM(L11:L14)</f>
        <v/>
      </c>
      <c r="M15" s="11">
        <f>SUM(M11:M14)</f>
        <v/>
      </c>
      <c r="N15" s="11">
        <f>SUM(B15:M15)</f>
        <v/>
      </c>
    </row>
    <row r="16">
      <c r="A16" s="9" t="inlineStr">
        <is>
          <t>NET PROFIT / EBITDA (TTM ACTUAL)</t>
        </is>
      </c>
      <c r="B16" s="10">
        <f>B9-B15</f>
        <v/>
      </c>
      <c r="C16" s="10">
        <f>C9-C15</f>
        <v/>
      </c>
      <c r="D16" s="10">
        <f>D9-D15</f>
        <v/>
      </c>
      <c r="E16" s="10">
        <f>E9-E15</f>
        <v/>
      </c>
      <c r="F16" s="10">
        <f>F9-F15</f>
        <v/>
      </c>
      <c r="G16" s="10">
        <f>G9-G15</f>
        <v/>
      </c>
      <c r="H16" s="10">
        <f>H9-H15</f>
        <v/>
      </c>
      <c r="I16" s="10">
        <f>I9-I15</f>
        <v/>
      </c>
      <c r="J16" s="10">
        <f>J9-J15</f>
        <v/>
      </c>
      <c r="K16" s="10">
        <f>K9-K15</f>
        <v/>
      </c>
      <c r="L16" s="10">
        <f>L9-L15</f>
        <v/>
      </c>
      <c r="M16" s="10">
        <f>M9-M15</f>
        <v/>
      </c>
      <c r="N16" s="10">
        <f>N9-N15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FACTLEDGER — COMMERCIAL MONETIZATION SCHEDULE &amp; ACQUISITION VALUATION</t>
        </is>
      </c>
    </row>
    <row r="2">
      <c r="A2" s="12" t="inlineStr">
        <is>
          <t>Note: The $75,000 and $150,000 figures previously entered in the draft form represented forward annualized projections &amp; asking valuation, not trailing TTM actuals.</t>
        </is>
      </c>
    </row>
    <row r="4">
      <c r="A4" s="13" t="inlineStr">
        <is>
          <t>Revenue Stream / Asset Tier</t>
        </is>
      </c>
      <c r="B4" s="13" t="inlineStr">
        <is>
          <t>Unit Price (USD)</t>
        </is>
      </c>
      <c r="C4" s="13" t="inlineStr">
        <is>
          <t>Target Monthly Volume</t>
        </is>
      </c>
      <c r="D4" s="13" t="inlineStr">
        <is>
          <t>Projected Monthly Revenue (MRR)</t>
        </is>
      </c>
      <c r="E4" s="13" t="inlineStr">
        <is>
          <t>Projected Annual Run Rate (ARR)</t>
        </is>
      </c>
    </row>
    <row r="5">
      <c r="A5" s="14" t="inlineStr">
        <is>
          <t>Pro Developer &amp; AI Agent API/MCP Plan (25k req/mo)</t>
        </is>
      </c>
      <c r="B5" s="15" t="n">
        <v>149</v>
      </c>
      <c r="C5" s="16" t="n">
        <v>10</v>
      </c>
      <c r="D5" s="8">
        <f>B5*C5</f>
        <v/>
      </c>
      <c r="E5" s="8">
        <f>D5*12</f>
        <v/>
      </c>
    </row>
    <row r="6">
      <c r="A6" s="14" t="inlineStr">
        <is>
          <t>Business Protocol &amp; Wallet Plan (250k req/mo + 10 alert streams)</t>
        </is>
      </c>
      <c r="B6" s="15" t="n">
        <v>499</v>
      </c>
      <c r="C6" s="16" t="n">
        <v>6</v>
      </c>
      <c r="D6" s="8">
        <f>B6*C6</f>
        <v/>
      </c>
      <c r="E6" s="8">
        <f>D6*12</f>
        <v/>
      </c>
    </row>
    <row r="7">
      <c r="A7" s="14" t="inlineStr">
        <is>
          <t>Institutional Wallet/Protocol Audit Reports (100-Report Engine)</t>
        </is>
      </c>
      <c r="B7" s="15" t="n">
        <v>500</v>
      </c>
      <c r="C7" s="16" t="n">
        <v>7</v>
      </c>
      <c r="D7" s="8">
        <f>B7*C7</f>
        <v/>
      </c>
      <c r="E7" s="8">
        <f>D7*12</f>
        <v/>
      </c>
    </row>
    <row r="8">
      <c r="A8" s="14" t="inlineStr">
        <is>
          <t>On-Chain Pay-Per-Scan Micropayments (MicropaymentVerifier)</t>
        </is>
      </c>
      <c r="B8" s="15" t="n">
        <v>0.3</v>
      </c>
      <c r="C8" s="16" t="n">
        <v>3500</v>
      </c>
      <c r="D8" s="8">
        <f>B8*C8</f>
        <v/>
      </c>
      <c r="E8" s="8">
        <f>D8*12</f>
        <v/>
      </c>
    </row>
    <row r="9">
      <c r="A9" s="14" t="inlineStr">
        <is>
          <t>Ecosystem Grants &amp; Sponsorships (Solana / Pyth / Superteam)</t>
        </is>
      </c>
      <c r="B9" s="15" t="n">
        <v>1500</v>
      </c>
      <c r="C9" s="16" t="n">
        <v>1</v>
      </c>
      <c r="D9" s="8">
        <f>B9*C9</f>
        <v/>
      </c>
      <c r="E9" s="8">
        <f>D9*12</f>
        <v/>
      </c>
    </row>
    <row r="10">
      <c r="A10" s="17" t="inlineStr">
        <is>
          <t>TOTAL PROJECTED COMMERCIAL CAPACITY</t>
        </is>
      </c>
      <c r="B10" s="18" t="inlineStr"/>
      <c r="C10" s="18" t="inlineStr"/>
      <c r="D10" s="10">
        <f>SUM(D5:D9)</f>
        <v/>
      </c>
      <c r="E10" s="10">
        <f>SUM(E5:E9)</f>
        <v/>
      </c>
    </row>
    <row r="12">
      <c r="A12" s="19" t="inlineStr">
        <is>
          <t>ACQUISITION ASKING PRICE &amp; ASSET SUMMARY (100% IP &amp; CODEBASE BUYOUT)</t>
        </is>
      </c>
    </row>
    <row r="13">
      <c r="A13" s="9" t="inlineStr">
        <is>
          <t>Corrected Trailing 12-Month (TTM) Revenue</t>
        </is>
      </c>
      <c r="B13" s="6" t="inlineStr">
        <is>
          <t>$0 (Pre-Revenue / Newly Launched Commercial Asset)</t>
        </is>
      </c>
    </row>
    <row r="14">
      <c r="A14" s="9" t="inlineStr">
        <is>
          <t>Corrected Trailing 12-Month (TTM) Net Profit</t>
        </is>
      </c>
      <c r="B14" s="6" t="inlineStr">
        <is>
          <t>$0 (Zero Debt, Zero External Liabilities)</t>
        </is>
      </c>
    </row>
    <row r="15">
      <c r="A15" s="9" t="inlineStr">
        <is>
          <t>Corrected Last Month Profit</t>
        </is>
      </c>
      <c r="B15" s="6" t="inlineStr">
        <is>
          <t>$0</t>
        </is>
      </c>
    </row>
    <row r="16">
      <c r="A16" s="9" t="inlineStr">
        <is>
          <t>Target Cash Acquisition Asking Price</t>
        </is>
      </c>
      <c r="B16" s="6" t="inlineStr">
        <is>
          <t>$75,000 USD (Open to Cash Offers from $35,000 - $75,000 USD)</t>
        </is>
      </c>
    </row>
    <row r="17">
      <c r="A17" s="9" t="inlineStr">
        <is>
          <t>Included Technical Assets</t>
        </is>
      </c>
      <c r="B17" s="6" t="inlineStr">
        <is>
          <t>TypeScript Core (224 CI Tests), 8-Tool MCP Server, 100-Agent Verification Suite, 100-Report Engine, Live Render API &amp; Demo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2026-10-17T01:10:22Z</dcterms:created>
  <dcterms:modified xmlns:dcterms="http://purl.org/dc/terms/" xmlns:xsi="http://www.w3.org/2001/XMLSchema-instance" xsi:type="dcterms:W3CDTF">2026-10-17T01:10:22Z</dcterms:modified>
</cp:coreProperties>
</file>